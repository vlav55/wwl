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ga_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<sst xmlns="http://schemas.openxmlformats.org/spreadsheetml/2006/main" count="64" uniqueCount="63">
  <si>
    <t xml:space="preserve">ID</t>
  </si>
  <si>
    <t xml:space="preserve">DESCR</t>
  </si>
  <si>
    <t xml:space="preserve">TERM</t>
  </si>
  <si>
    <t xml:space="preserve">PRICE0</t>
  </si>
  <si>
    <t xml:space="preserve">PRICE1</t>
  </si>
  <si>
    <t xml:space="preserve">PRICE2</t>
  </si>
  <si>
    <t xml:space="preserve">discount</t>
  </si>
  <si>
    <t xml:space="preserve">price1 after discount</t>
  </si>
  <si>
    <t xml:space="preserve">fee</t>
  </si>
  <si>
    <t xml:space="preserve">price1 after fee</t>
  </si>
  <si>
    <t xml:space="preserve">Доступ к материалам курса йоги для начинающих, пакет Старт, 12 мес.</t>
  </si>
  <si>
    <t xml:space="preserve">Доступ к материалам курса йоги для продолжающих, 5 комплексов, 12 мес.</t>
  </si>
  <si>
    <t xml:space="preserve">Доступ к материалам курса йоги для начинающих, пакет ЛАЙТ, 3 мес.</t>
  </si>
  <si>
    <t xml:space="preserve">Курс йоги для начинающих, пакет VIP</t>
  </si>
  <si>
    <t xml:space="preserve">Доступ к пробным занятиям классической йогой для начинающих, 7 дн.</t>
  </si>
  <si>
    <t xml:space="preserve">Доступ к пробным занятиям классической йогой для начинающих + Медитация для сна, 7 дн.</t>
  </si>
  <si>
    <t xml:space="preserve">убрать с лэндинга</t>
  </si>
  <si>
    <t xml:space="preserve">Доступ к пробным занятиям классической йогой для начинающих + Медитация для сна + каталог асан, 7 дн.</t>
  </si>
  <si>
    <t xml:space="preserve">Продление курса для начинающих на год</t>
  </si>
  <si>
    <t xml:space="preserve">Доступ к каталогу асан на 30 дней</t>
  </si>
  <si>
    <t xml:space="preserve">Пробный доступ к медитации для сна</t>
  </si>
  <si>
    <t xml:space="preserve">Доступ к материалам "Медитации раджа-йоги", пакет "ЛАЙТ", 30 дней</t>
  </si>
  <si>
    <t xml:space="preserve">Доступ к материалам "Медитации раджа-йоги", пакет "СТАРТ", 90 дней</t>
  </si>
  <si>
    <t xml:space="preserve">Доступ к материалам "Медитации раджа-йоги", пакет "V.I.P.", 365 дней</t>
  </si>
  <si>
    <t xml:space="preserve">Доступ к продукту Курс йоги для начинающих, проблемы спины, 12 мес.</t>
  </si>
  <si>
    <t xml:space="preserve">Доступ к продукту Курс йоги для начинающих, артриты, подагра, 12 мес.</t>
  </si>
  <si>
    <t xml:space="preserve">Доступ к продукту Комплекс для начинающих №0</t>
  </si>
  <si>
    <t xml:space="preserve">Доступ к продукту Комплекс для начинающих: №1</t>
  </si>
  <si>
    <t xml:space="preserve">Доступ к продукту Комплекс для начинающих: №2</t>
  </si>
  <si>
    <t xml:space="preserve">Доступ к продукту Комплекс для начинающих: №3</t>
  </si>
  <si>
    <t xml:space="preserve">Доступ к продукту Комплекс для начинающих: №4</t>
  </si>
  <si>
    <t xml:space="preserve">Доступ к продукту Курс йоги для начинающих с комплексом для лечения варикоза, 12 мес.</t>
  </si>
  <si>
    <t xml:space="preserve">Доступ к продукту Комплекс №1 для лечения варикоза (для начинающих), 12 мес.</t>
  </si>
  <si>
    <t xml:space="preserve">Доступ к продукту Комплекс №2 для лечения варикоза (для продолжающих), 12 мес.</t>
  </si>
  <si>
    <t xml:space="preserve">Доступ к продукту Курс йоги для начинающих с комплексом для восстановления функций щитовидной железы, 12 мес.</t>
  </si>
  <si>
    <t xml:space="preserve">Доступ к продукту Комплекс №1 для для восстановления функций щитовидной железы (для начинающих), 12 мес.</t>
  </si>
  <si>
    <t xml:space="preserve">Вступительный взнос в клуб YOGAHELPYOU + участие, 30 дней</t>
  </si>
  <si>
    <t xml:space="preserve">Продление участия в клубе YOGAHELPYOU, 30 дней</t>
  </si>
  <si>
    <t xml:space="preserve">Продление участия в клубе YOGAHELPYOU, 90 дней</t>
  </si>
  <si>
    <t xml:space="preserve">Продление участия в клубе YOGAHELPYOU, 180 дней</t>
  </si>
  <si>
    <t xml:space="preserve">Продление участия в клубе YOGAHELPYOU, 365 дней</t>
  </si>
  <si>
    <t xml:space="preserve">Сборник: все медитативные практики (7 шт)</t>
  </si>
  <si>
    <t xml:space="preserve">Марафон "Введение в йогу" &amp;lt;br&amp;gt;&amp;lt;br&amp;gt;&amp;lt;br&amp;gt;</t>
  </si>
  <si>
    <t xml:space="preserve">Практика релаксации "Шавасана для сна"</t>
  </si>
  <si>
    <t xml:space="preserve">Медитация "Шавасана для снятия стресса"</t>
  </si>
  <si>
    <t xml:space="preserve">Медитация Финальное расслабление #1 с движением по позвоночнику, из курса для продолжающих, 12 мес</t>
  </si>
  <si>
    <t xml:space="preserve">Медитация Финальное расслабление #2 с визуализацией, из курса для продолжающих, 12 мес</t>
  </si>
  <si>
    <t xml:space="preserve">Доступ к материалам &amp;laquo;Медитация для сна с движением по позвоночнику&amp;raquo;</t>
  </si>
  <si>
    <t xml:space="preserve">Доступ к материалам &amp;laquo;Медитация для сна с визуализацией&amp;raquo;</t>
  </si>
  <si>
    <t xml:space="preserve">Доступ к материалам по классической йоге для начинающих, пакет "Курс НОЛЬ" (доплата)</t>
  </si>
  <si>
    <t xml:space="preserve">Доступ к материалам по классической йоге для начинающих, пакет "Курс СТАРТ (90 дн.) +каталог асан+14 медитаций"</t>
  </si>
  <si>
    <t xml:space="preserve">TEST</t>
  </si>
  <si>
    <t xml:space="preserve">ПРИВЕТСТВЕННЫЕ БаЛЛЫ</t>
  </si>
  <si>
    <t xml:space="preserve">Медитативная практика: Сосредоточение на телесных ощущениях</t>
  </si>
  <si>
    <t xml:space="preserve">Медитативная практика: Сосредоточение на звуках</t>
  </si>
  <si>
    <t xml:space="preserve">Медитативная практика: Сосредоточение на дыхании животом</t>
  </si>
  <si>
    <t xml:space="preserve">Медитативная практика: Сосредоточение на дыхании- кончик носа - межбровье</t>
  </si>
  <si>
    <t xml:space="preserve">Медитативная практика: Сосредоточение на проплывающих мыслях</t>
  </si>
  <si>
    <t xml:space="preserve">Медитативная практика: Сосредоточение на восприятии текущего момента</t>
  </si>
  <si>
    <t xml:space="preserve">Медитативная практика: Сосредоточение на свече (тратака)</t>
  </si>
  <si>
    <t xml:space="preserve">Детоксикация организма, пакет ЛАЙТ</t>
  </si>
  <si>
    <t xml:space="preserve">Детоксикация организма, пакет 100% РЕЗУЛЬТАТ</t>
  </si>
  <si>
    <t xml:space="preserve">Детоксикация организма, пакет ПРОФИ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</si>
</sst>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#,##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FF8D00"/>
      <name val="Arial"/>
      <family val="2"/>
      <charset val="1"/>
    </font>
    <font>
      <b val="true"/>
      <sz val="10"/>
      <color rgb="FFFF8D00"/>
      <name val="Arial"/>
      <family val="2"/>
      <charset val="1"/>
    </font>
    <font>
      <sz val="10"/>
      <color rgb="FF127622"/>
      <name val="Arial"/>
      <family val="2"/>
      <charset val="1"/>
    </font>
    <font>
      <b val="true"/>
      <sz val="10"/>
      <color rgb="FF127622"/>
      <name val="Arial"/>
      <family val="2"/>
      <charset val="1"/>
    </font>
    <font>
      <sz val="10"/>
      <color rgb="FF5B277D"/>
      <name val="Arial"/>
      <family val="2"/>
      <charset val="1"/>
    </font>
    <font>
      <b val="true"/>
      <sz val="10"/>
      <color rgb="FF5B277D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C9211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D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5B27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7" activeCellId="0" sqref="G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2" width="57.58"/>
    <col collapsed="false" customWidth="true" hidden="false" outlineLevel="0" max="3" min="3" style="3" width="6.47"/>
    <col collapsed="false" customWidth="true" hidden="false" outlineLevel="0" max="4" min="4" style="4" width="9.63"/>
    <col collapsed="false" customWidth="true" hidden="false" outlineLevel="0" max="5" min="5" style="5" width="9.63"/>
    <col collapsed="false" customWidth="true" hidden="false" outlineLevel="0" max="6" min="6" style="4" width="9.63"/>
    <col collapsed="false" customWidth="true" hidden="false" outlineLevel="0" max="7" min="7" style="3" width="9.84"/>
    <col collapsed="false" customWidth="false" hidden="false" outlineLevel="0" max="8" min="8" style="6" width="11.53"/>
    <col collapsed="false" customWidth="true" hidden="false" outlineLevel="0" max="9" min="9" style="7" width="5.88"/>
    <col collapsed="false" customWidth="false" hidden="false" outlineLevel="0" max="10" min="10" style="4" width="11.53"/>
    <col collapsed="false" customWidth="false" hidden="false" outlineLevel="0" max="11" min="11" style="8" width="11.53"/>
  </cols>
  <sheetData>
    <row r="1" s="2" customFormat="true" ht="23.85" hidden="false" customHeight="false" outlineLevel="0" collapsed="false">
      <c r="A1" s="9" t="s">
        <v>0</v>
      </c>
      <c r="B1" s="2" t="s">
        <v>1</v>
      </c>
      <c r="C1" s="2" t="s">
        <v>2</v>
      </c>
      <c r="D1" s="10" t="s">
        <v>3</v>
      </c>
      <c r="E1" s="11" t="s">
        <v>4</v>
      </c>
      <c r="F1" s="10" t="s">
        <v>5</v>
      </c>
      <c r="G1" s="2" t="s">
        <v>6</v>
      </c>
      <c r="H1" s="12" t="s">
        <v>7</v>
      </c>
      <c r="I1" s="13" t="s">
        <v>8</v>
      </c>
      <c r="J1" s="10" t="s">
        <v>9</v>
      </c>
      <c r="K1" s="8"/>
    </row>
    <row r="2" s="16" customFormat="true" ht="23.85" hidden="false" customHeight="false" outlineLevel="0" collapsed="false">
      <c r="A2" s="14" t="n">
        <v>1</v>
      </c>
      <c r="B2" s="15" t="s">
        <v>10</v>
      </c>
      <c r="C2" s="16" t="n">
        <v>365</v>
      </c>
      <c r="D2" s="17" t="n">
        <f aca="false">E2*1.1</f>
        <v>16500</v>
      </c>
      <c r="E2" s="18" t="n">
        <v>15000</v>
      </c>
      <c r="F2" s="17" t="n">
        <v>19900</v>
      </c>
      <c r="G2" s="19" t="n">
        <v>0.35</v>
      </c>
      <c r="H2" s="20" t="n">
        <f aca="false">E2*(1-G2)</f>
        <v>9750</v>
      </c>
      <c r="I2" s="19" t="n">
        <v>0.2</v>
      </c>
      <c r="J2" s="17" t="n">
        <f aca="false">H2*(1-I2)</f>
        <v>7800</v>
      </c>
      <c r="K2" s="21"/>
    </row>
    <row r="3" s="16" customFormat="true" ht="23.85" hidden="false" customHeight="false" outlineLevel="0" collapsed="false">
      <c r="A3" s="14" t="n">
        <v>2</v>
      </c>
      <c r="B3" s="15" t="s">
        <v>11</v>
      </c>
      <c r="C3" s="16" t="n">
        <v>365</v>
      </c>
      <c r="D3" s="17" t="n">
        <f aca="false">E3*1.1</f>
        <v>32890</v>
      </c>
      <c r="E3" s="18" t="n">
        <v>29900</v>
      </c>
      <c r="F3" s="17" t="n">
        <v>19900</v>
      </c>
      <c r="G3" s="19" t="n">
        <v>0.35</v>
      </c>
      <c r="H3" s="20" t="n">
        <f aca="false">E3*(1-G3)</f>
        <v>19435</v>
      </c>
      <c r="I3" s="19" t="n">
        <v>0.2</v>
      </c>
      <c r="J3" s="17" t="n">
        <f aca="false">H3*(1-I3)</f>
        <v>15548</v>
      </c>
      <c r="K3" s="21"/>
    </row>
    <row r="4" s="16" customFormat="true" ht="23.85" hidden="false" customHeight="false" outlineLevel="0" collapsed="false">
      <c r="A4" s="14" t="n">
        <v>11</v>
      </c>
      <c r="B4" s="15" t="s">
        <v>12</v>
      </c>
      <c r="C4" s="16" t="n">
        <v>90</v>
      </c>
      <c r="D4" s="17" t="n">
        <f aca="false">E4*1.1</f>
        <v>10890</v>
      </c>
      <c r="E4" s="18" t="n">
        <v>9900</v>
      </c>
      <c r="F4" s="17" t="n">
        <v>9900</v>
      </c>
      <c r="G4" s="19" t="n">
        <v>0.35</v>
      </c>
      <c r="H4" s="20" t="n">
        <f aca="false">E4*(1-G4)</f>
        <v>6435</v>
      </c>
      <c r="I4" s="19" t="n">
        <v>0.2</v>
      </c>
      <c r="J4" s="17" t="n">
        <f aca="false">H4*(1-I4)</f>
        <v>5148</v>
      </c>
      <c r="K4" s="21"/>
    </row>
    <row r="5" s="16" customFormat="true" ht="12.8" hidden="false" customHeight="false" outlineLevel="0" collapsed="false">
      <c r="A5" s="14" t="n">
        <v>12</v>
      </c>
      <c r="B5" s="15" t="s">
        <v>13</v>
      </c>
      <c r="C5" s="16" t="n">
        <v>557</v>
      </c>
      <c r="D5" s="17" t="n">
        <v>350000</v>
      </c>
      <c r="E5" s="18" t="n">
        <v>250000</v>
      </c>
      <c r="F5" s="17" t="n">
        <v>220000</v>
      </c>
      <c r="G5" s="19" t="n">
        <v>0.35</v>
      </c>
      <c r="H5" s="20" t="n">
        <f aca="false">E5*(1-G5)</f>
        <v>162500</v>
      </c>
      <c r="I5" s="19" t="n">
        <v>0.2</v>
      </c>
      <c r="J5" s="17" t="n">
        <f aca="false">H5*(1-I5)</f>
        <v>130000</v>
      </c>
      <c r="K5" s="21"/>
    </row>
    <row r="6" s="24" customFormat="true" ht="23.85" hidden="false" customHeight="false" outlineLevel="0" collapsed="false">
      <c r="A6" s="22" t="n">
        <v>13</v>
      </c>
      <c r="B6" s="23" t="s">
        <v>14</v>
      </c>
      <c r="C6" s="24" t="n">
        <v>7</v>
      </c>
      <c r="D6" s="25" t="n">
        <v>3000</v>
      </c>
      <c r="E6" s="6" t="n">
        <v>500</v>
      </c>
      <c r="F6" s="25" t="n">
        <v>374</v>
      </c>
      <c r="G6" s="26" t="n">
        <v>0.9</v>
      </c>
      <c r="H6" s="6" t="n">
        <f aca="false">E6*(1-G6)</f>
        <v>50</v>
      </c>
      <c r="I6" s="26" t="n">
        <v>0</v>
      </c>
      <c r="J6" s="25" t="n">
        <f aca="false">H6*(1-I6)</f>
        <v>50</v>
      </c>
      <c r="K6" s="27"/>
    </row>
    <row r="7" customFormat="false" ht="22.95" hidden="false" customHeight="false" outlineLevel="0" collapsed="false">
      <c r="A7" s="1" t="n">
        <v>14</v>
      </c>
      <c r="B7" s="2" t="s">
        <v>15</v>
      </c>
      <c r="C7" s="3" t="n">
        <v>7</v>
      </c>
      <c r="D7" s="4" t="n">
        <v>3500</v>
      </c>
      <c r="E7" s="5" t="n">
        <v>900</v>
      </c>
      <c r="F7" s="4" t="n">
        <v>561</v>
      </c>
      <c r="G7" s="7" t="n">
        <v>0.35</v>
      </c>
      <c r="H7" s="6" t="n">
        <f aca="false">E7*(1-G7)</f>
        <v>585</v>
      </c>
      <c r="I7" s="7" t="n">
        <v>0.2</v>
      </c>
      <c r="J7" s="4" t="n">
        <f aca="false">H7*(1-I7)</f>
        <v>468</v>
      </c>
      <c r="K7" s="8" t="s">
        <v>16</v>
      </c>
    </row>
    <row r="8" customFormat="false" ht="22.95" hidden="false" customHeight="false" outlineLevel="0" collapsed="false">
      <c r="A8" s="1" t="n">
        <v>15</v>
      </c>
      <c r="B8" s="2" t="s">
        <v>17</v>
      </c>
      <c r="C8" s="3" t="n">
        <v>7</v>
      </c>
      <c r="D8" s="4" t="n">
        <v>4100</v>
      </c>
      <c r="E8" s="5" t="n">
        <v>1900</v>
      </c>
      <c r="F8" s="4" t="n">
        <v>1540</v>
      </c>
      <c r="G8" s="7" t="n">
        <v>0.35</v>
      </c>
      <c r="H8" s="6" t="n">
        <f aca="false">E8*(1-G8)</f>
        <v>1235</v>
      </c>
      <c r="I8" s="7" t="n">
        <v>0.2</v>
      </c>
      <c r="J8" s="4" t="n">
        <f aca="false">H8*(1-I8)</f>
        <v>988</v>
      </c>
      <c r="K8" s="8" t="s">
        <v>16</v>
      </c>
    </row>
    <row r="9" customFormat="false" ht="12.8" hidden="false" customHeight="false" outlineLevel="0" collapsed="false">
      <c r="A9" s="1" t="n">
        <v>16</v>
      </c>
      <c r="B9" s="2" t="s">
        <v>18</v>
      </c>
      <c r="C9" s="3" t="n">
        <v>365</v>
      </c>
      <c r="D9" s="4" t="n">
        <v>19900</v>
      </c>
      <c r="E9" s="5" t="n">
        <v>3500</v>
      </c>
      <c r="F9" s="4" t="n">
        <v>3500</v>
      </c>
    </row>
    <row r="10" customFormat="false" ht="12.8" hidden="false" customHeight="false" outlineLevel="0" collapsed="false">
      <c r="A10" s="1" t="n">
        <v>19</v>
      </c>
      <c r="B10" s="2" t="s">
        <v>19</v>
      </c>
      <c r="C10" s="3" t="n">
        <v>30</v>
      </c>
      <c r="D10" s="4" t="n">
        <v>1200</v>
      </c>
      <c r="E10" s="5" t="n">
        <v>900</v>
      </c>
      <c r="F10" s="4" t="n">
        <v>0</v>
      </c>
    </row>
    <row r="11" customFormat="false" ht="12.8" hidden="false" customHeight="false" outlineLevel="0" collapsed="false">
      <c r="A11" s="1" t="n">
        <v>20</v>
      </c>
      <c r="B11" s="2" t="s">
        <v>20</v>
      </c>
      <c r="C11" s="3" t="n">
        <v>7</v>
      </c>
      <c r="D11" s="4" t="n">
        <v>0</v>
      </c>
      <c r="E11" s="5" t="n">
        <v>0</v>
      </c>
      <c r="F11" s="4" t="n">
        <v>0</v>
      </c>
    </row>
    <row r="12" s="30" customFormat="true" ht="23.85" hidden="false" customHeight="false" outlineLevel="0" collapsed="false">
      <c r="A12" s="28" t="n">
        <v>21</v>
      </c>
      <c r="B12" s="29" t="s">
        <v>21</v>
      </c>
      <c r="C12" s="30" t="n">
        <v>30</v>
      </c>
      <c r="D12" s="17" t="n">
        <f aca="false">E12*1.2</f>
        <v>2280</v>
      </c>
      <c r="E12" s="31" t="n">
        <v>1900</v>
      </c>
      <c r="F12" s="32" t="n">
        <v>690</v>
      </c>
      <c r="G12" s="33" t="n">
        <v>0.5</v>
      </c>
      <c r="H12" s="34" t="n">
        <f aca="false">E12*(1-G12)</f>
        <v>950</v>
      </c>
      <c r="I12" s="33" t="n">
        <v>0.2</v>
      </c>
      <c r="J12" s="32" t="n">
        <f aca="false">H12*(1-I12)</f>
        <v>760</v>
      </c>
      <c r="K12" s="35"/>
    </row>
    <row r="13" s="30" customFormat="true" ht="23.85" hidden="false" customHeight="false" outlineLevel="0" collapsed="false">
      <c r="A13" s="28" t="n">
        <v>22</v>
      </c>
      <c r="B13" s="29" t="s">
        <v>22</v>
      </c>
      <c r="C13" s="30" t="n">
        <v>90</v>
      </c>
      <c r="D13" s="17" t="n">
        <f aca="false">E13*1.2</f>
        <v>3000</v>
      </c>
      <c r="E13" s="31" t="n">
        <v>2500</v>
      </c>
      <c r="F13" s="32" t="n">
        <v>990</v>
      </c>
      <c r="G13" s="33" t="n">
        <v>0.5</v>
      </c>
      <c r="H13" s="34" t="n">
        <f aca="false">E13*(1-G13)</f>
        <v>1250</v>
      </c>
      <c r="I13" s="33" t="n">
        <v>0.2</v>
      </c>
      <c r="J13" s="32" t="n">
        <f aca="false">H13*(1-I13)</f>
        <v>1000</v>
      </c>
      <c r="K13" s="35"/>
    </row>
    <row r="14" s="30" customFormat="true" ht="23.85" hidden="false" customHeight="false" outlineLevel="0" collapsed="false">
      <c r="A14" s="28" t="n">
        <v>23</v>
      </c>
      <c r="B14" s="29" t="s">
        <v>23</v>
      </c>
      <c r="C14" s="30" t="n">
        <v>365</v>
      </c>
      <c r="D14" s="17" t="n">
        <f aca="false">E14*1.2</f>
        <v>3720</v>
      </c>
      <c r="E14" s="31" t="n">
        <v>3100</v>
      </c>
      <c r="F14" s="32" t="n">
        <v>1490</v>
      </c>
      <c r="G14" s="33" t="n">
        <v>0.5</v>
      </c>
      <c r="H14" s="34" t="n">
        <f aca="false">E14*(1-G14)</f>
        <v>1550</v>
      </c>
      <c r="I14" s="33" t="n">
        <v>0.2</v>
      </c>
      <c r="J14" s="32" t="n">
        <f aca="false">H14*(1-I14)</f>
        <v>1240</v>
      </c>
      <c r="K14" s="35"/>
    </row>
    <row r="15" s="38" customFormat="true" ht="23.85" hidden="false" customHeight="false" outlineLevel="0" collapsed="false">
      <c r="A15" s="36" t="n">
        <v>31</v>
      </c>
      <c r="B15" s="37" t="s">
        <v>24</v>
      </c>
      <c r="C15" s="38" t="n">
        <v>90</v>
      </c>
      <c r="D15" s="39" t="n">
        <f aca="false">E15*1.1</f>
        <v>10890</v>
      </c>
      <c r="E15" s="40" t="n">
        <v>9900</v>
      </c>
      <c r="F15" s="39" t="n">
        <v>14990</v>
      </c>
      <c r="G15" s="41" t="n">
        <v>0.35</v>
      </c>
      <c r="H15" s="42" t="n">
        <f aca="false">E15*(1-G15)</f>
        <v>6435</v>
      </c>
      <c r="I15" s="41" t="n">
        <v>0.2</v>
      </c>
      <c r="J15" s="39" t="n">
        <f aca="false">H15*(1-I15)</f>
        <v>5148</v>
      </c>
      <c r="K15" s="43"/>
    </row>
    <row r="16" s="38" customFormat="true" ht="23.85" hidden="false" customHeight="false" outlineLevel="0" collapsed="false">
      <c r="A16" s="36" t="n">
        <v>32</v>
      </c>
      <c r="B16" s="37" t="s">
        <v>25</v>
      </c>
      <c r="C16" s="38" t="n">
        <v>90</v>
      </c>
      <c r="D16" s="39" t="n">
        <f aca="false">E16*1.1</f>
        <v>10890</v>
      </c>
      <c r="E16" s="40" t="n">
        <v>9900</v>
      </c>
      <c r="F16" s="39" t="n">
        <v>14900</v>
      </c>
      <c r="G16" s="41" t="n">
        <v>0.35</v>
      </c>
      <c r="H16" s="42" t="n">
        <f aca="false">E16*(1-G16)</f>
        <v>6435</v>
      </c>
      <c r="I16" s="41" t="n">
        <v>0.2</v>
      </c>
      <c r="J16" s="39" t="n">
        <f aca="false">H16*(1-I16)</f>
        <v>5148</v>
      </c>
      <c r="K16" s="43"/>
    </row>
    <row r="17" s="38" customFormat="true" ht="12.8" hidden="false" customHeight="false" outlineLevel="0" collapsed="false">
      <c r="A17" s="36" t="n">
        <v>39</v>
      </c>
      <c r="B17" s="37" t="s">
        <v>26</v>
      </c>
      <c r="C17" s="38" t="n">
        <v>90</v>
      </c>
      <c r="D17" s="39" t="n">
        <f aca="false">E17*1.1</f>
        <v>10890</v>
      </c>
      <c r="E17" s="40" t="n">
        <v>9900</v>
      </c>
      <c r="F17" s="39" t="n">
        <v>1400</v>
      </c>
      <c r="G17" s="41" t="n">
        <v>0.35</v>
      </c>
      <c r="H17" s="42" t="n">
        <f aca="false">E17*(1-G17)</f>
        <v>6435</v>
      </c>
      <c r="I17" s="41" t="n">
        <v>0.2</v>
      </c>
      <c r="J17" s="39" t="n">
        <f aca="false">H17*(1-I17)</f>
        <v>5148</v>
      </c>
      <c r="K17" s="43"/>
    </row>
    <row r="18" s="38" customFormat="true" ht="12.8" hidden="false" customHeight="false" outlineLevel="0" collapsed="false">
      <c r="A18" s="36" t="n">
        <v>40</v>
      </c>
      <c r="B18" s="37" t="s">
        <v>27</v>
      </c>
      <c r="C18" s="38" t="n">
        <v>90</v>
      </c>
      <c r="D18" s="39" t="n">
        <f aca="false">E18*1.1</f>
        <v>10890</v>
      </c>
      <c r="E18" s="40" t="n">
        <v>9900</v>
      </c>
      <c r="F18" s="39" t="n">
        <v>1400</v>
      </c>
      <c r="G18" s="41" t="n">
        <v>0.35</v>
      </c>
      <c r="H18" s="42" t="n">
        <f aca="false">E18*(1-G18)</f>
        <v>6435</v>
      </c>
      <c r="I18" s="41" t="n">
        <v>0.2</v>
      </c>
      <c r="J18" s="39" t="n">
        <f aca="false">H18*(1-I18)</f>
        <v>5148</v>
      </c>
      <c r="K18" s="43"/>
    </row>
    <row r="19" s="38" customFormat="true" ht="12.8" hidden="false" customHeight="false" outlineLevel="0" collapsed="false">
      <c r="A19" s="36" t="n">
        <v>41</v>
      </c>
      <c r="B19" s="37" t="s">
        <v>28</v>
      </c>
      <c r="C19" s="38" t="n">
        <v>90</v>
      </c>
      <c r="D19" s="39" t="n">
        <f aca="false">E19*1.1</f>
        <v>10890</v>
      </c>
      <c r="E19" s="40" t="n">
        <v>9900</v>
      </c>
      <c r="F19" s="39" t="n">
        <v>1400</v>
      </c>
      <c r="G19" s="41" t="n">
        <v>0.35</v>
      </c>
      <c r="H19" s="42" t="n">
        <f aca="false">E19*(1-G19)</f>
        <v>6435</v>
      </c>
      <c r="I19" s="41" t="n">
        <v>0.2</v>
      </c>
      <c r="J19" s="39" t="n">
        <f aca="false">H19*(1-I19)</f>
        <v>5148</v>
      </c>
      <c r="K19" s="43"/>
    </row>
    <row r="20" s="38" customFormat="true" ht="12.8" hidden="false" customHeight="false" outlineLevel="0" collapsed="false">
      <c r="A20" s="36" t="n">
        <v>42</v>
      </c>
      <c r="B20" s="37" t="s">
        <v>29</v>
      </c>
      <c r="C20" s="38" t="n">
        <v>90</v>
      </c>
      <c r="D20" s="39" t="n">
        <f aca="false">E20*1.1</f>
        <v>10890</v>
      </c>
      <c r="E20" s="40" t="n">
        <v>9900</v>
      </c>
      <c r="F20" s="39" t="n">
        <v>1500</v>
      </c>
      <c r="G20" s="41" t="n">
        <v>0.35</v>
      </c>
      <c r="H20" s="42" t="n">
        <f aca="false">E20*(1-G20)</f>
        <v>6435</v>
      </c>
      <c r="I20" s="41" t="n">
        <v>0.2</v>
      </c>
      <c r="J20" s="39" t="n">
        <f aca="false">H20*(1-I20)</f>
        <v>5148</v>
      </c>
      <c r="K20" s="43"/>
    </row>
    <row r="21" s="38" customFormat="true" ht="12.8" hidden="false" customHeight="false" outlineLevel="0" collapsed="false">
      <c r="A21" s="36" t="n">
        <v>43</v>
      </c>
      <c r="B21" s="37" t="s">
        <v>30</v>
      </c>
      <c r="C21" s="38" t="n">
        <v>90</v>
      </c>
      <c r="D21" s="39" t="n">
        <f aca="false">E21*1.1</f>
        <v>10890</v>
      </c>
      <c r="E21" s="40" t="n">
        <v>9900</v>
      </c>
      <c r="F21" s="39" t="n">
        <v>1600</v>
      </c>
      <c r="G21" s="41" t="n">
        <v>0.35</v>
      </c>
      <c r="H21" s="42" t="n">
        <f aca="false">E21*(1-G21)</f>
        <v>6435</v>
      </c>
      <c r="I21" s="41" t="n">
        <v>0.2</v>
      </c>
      <c r="J21" s="39" t="n">
        <f aca="false">H21*(1-I21)</f>
        <v>5148</v>
      </c>
      <c r="K21" s="43"/>
    </row>
    <row r="22" s="38" customFormat="true" ht="23.85" hidden="false" customHeight="false" outlineLevel="0" collapsed="false">
      <c r="A22" s="36" t="n">
        <v>50</v>
      </c>
      <c r="B22" s="37" t="s">
        <v>31</v>
      </c>
      <c r="C22" s="38" t="n">
        <v>90</v>
      </c>
      <c r="D22" s="39" t="n">
        <f aca="false">E22*1.1</f>
        <v>10890</v>
      </c>
      <c r="E22" s="40" t="n">
        <v>9900</v>
      </c>
      <c r="F22" s="39" t="n">
        <v>14900</v>
      </c>
      <c r="G22" s="41" t="n">
        <v>0.35</v>
      </c>
      <c r="H22" s="42" t="n">
        <f aca="false">E22*(1-G22)</f>
        <v>6435</v>
      </c>
      <c r="I22" s="41" t="n">
        <v>0.2</v>
      </c>
      <c r="J22" s="39" t="n">
        <f aca="false">H22*(1-I22)</f>
        <v>5148</v>
      </c>
      <c r="K22" s="43"/>
    </row>
    <row r="23" s="38" customFormat="true" ht="23.85" hidden="false" customHeight="false" outlineLevel="0" collapsed="false">
      <c r="A23" s="36" t="n">
        <v>51</v>
      </c>
      <c r="B23" s="37" t="s">
        <v>32</v>
      </c>
      <c r="C23" s="38" t="n">
        <v>90</v>
      </c>
      <c r="D23" s="39" t="n">
        <f aca="false">E23*1.1</f>
        <v>10890</v>
      </c>
      <c r="E23" s="40" t="n">
        <v>9900</v>
      </c>
      <c r="F23" s="39" t="n">
        <v>1500</v>
      </c>
      <c r="G23" s="41" t="n">
        <v>0.35</v>
      </c>
      <c r="H23" s="42" t="n">
        <f aca="false">E23*(1-G23)</f>
        <v>6435</v>
      </c>
      <c r="I23" s="41" t="n">
        <v>0.2</v>
      </c>
      <c r="J23" s="39" t="n">
        <f aca="false">H23*(1-I23)</f>
        <v>5148</v>
      </c>
      <c r="K23" s="43"/>
    </row>
    <row r="24" s="38" customFormat="true" ht="23.85" hidden="false" customHeight="false" outlineLevel="0" collapsed="false">
      <c r="A24" s="36" t="n">
        <v>52</v>
      </c>
      <c r="B24" s="37" t="s">
        <v>33</v>
      </c>
      <c r="C24" s="38" t="n">
        <v>90</v>
      </c>
      <c r="D24" s="39" t="n">
        <f aca="false">E24*1.1</f>
        <v>10890</v>
      </c>
      <c r="E24" s="40" t="n">
        <v>9900</v>
      </c>
      <c r="F24" s="39" t="n">
        <v>1500</v>
      </c>
      <c r="G24" s="41" t="n">
        <v>0.35</v>
      </c>
      <c r="H24" s="42" t="n">
        <f aca="false">E24*(1-G24)</f>
        <v>6435</v>
      </c>
      <c r="I24" s="41" t="n">
        <v>0.2</v>
      </c>
      <c r="J24" s="39" t="n">
        <f aca="false">H24*(1-I24)</f>
        <v>5148</v>
      </c>
      <c r="K24" s="43"/>
    </row>
    <row r="25" s="38" customFormat="true" ht="23.85" hidden="false" customHeight="false" outlineLevel="0" collapsed="false">
      <c r="A25" s="36" t="n">
        <v>60</v>
      </c>
      <c r="B25" s="37" t="s">
        <v>34</v>
      </c>
      <c r="C25" s="38" t="n">
        <v>90</v>
      </c>
      <c r="D25" s="39" t="n">
        <f aca="false">E25*1.1</f>
        <v>10890</v>
      </c>
      <c r="E25" s="40" t="n">
        <v>9900</v>
      </c>
      <c r="F25" s="39" t="n">
        <v>14900</v>
      </c>
      <c r="G25" s="41" t="n">
        <v>0.35</v>
      </c>
      <c r="H25" s="42" t="n">
        <f aca="false">E25*(1-G25)</f>
        <v>6435</v>
      </c>
      <c r="I25" s="41" t="n">
        <v>0.2</v>
      </c>
      <c r="J25" s="39" t="n">
        <f aca="false">H25*(1-I25)</f>
        <v>5148</v>
      </c>
      <c r="K25" s="43"/>
    </row>
    <row r="26" s="38" customFormat="true" ht="23.85" hidden="false" customHeight="false" outlineLevel="0" collapsed="false">
      <c r="A26" s="36" t="n">
        <v>61</v>
      </c>
      <c r="B26" s="37" t="s">
        <v>35</v>
      </c>
      <c r="C26" s="38" t="n">
        <v>90</v>
      </c>
      <c r="D26" s="39" t="n">
        <f aca="false">E26*1.1</f>
        <v>10890</v>
      </c>
      <c r="E26" s="40" t="n">
        <v>9900</v>
      </c>
      <c r="F26" s="39" t="n">
        <v>1500</v>
      </c>
      <c r="G26" s="41" t="n">
        <v>0.35</v>
      </c>
      <c r="H26" s="42" t="n">
        <f aca="false">E26*(1-G26)</f>
        <v>6435</v>
      </c>
      <c r="I26" s="41" t="n">
        <v>0.2</v>
      </c>
      <c r="J26" s="39" t="n">
        <f aca="false">H26*(1-I26)</f>
        <v>5148</v>
      </c>
      <c r="K26" s="43"/>
    </row>
    <row r="27" s="46" customFormat="true" ht="12.8" hidden="false" customHeight="false" outlineLevel="0" collapsed="false">
      <c r="A27" s="44" t="n">
        <v>70</v>
      </c>
      <c r="B27" s="45" t="s">
        <v>36</v>
      </c>
      <c r="C27" s="46" t="n">
        <v>30</v>
      </c>
      <c r="D27" s="47" t="n">
        <v>5500</v>
      </c>
      <c r="E27" s="48" t="n">
        <v>4500</v>
      </c>
      <c r="F27" s="47" t="n">
        <v>3500</v>
      </c>
      <c r="G27" s="41" t="n">
        <v>0.5</v>
      </c>
      <c r="H27" s="42" t="n">
        <f aca="false">E27*(1-G27)</f>
        <v>2250</v>
      </c>
      <c r="I27" s="41" t="n">
        <v>0.2</v>
      </c>
      <c r="J27" s="39" t="n">
        <f aca="false">H27*(1-I27)</f>
        <v>1800</v>
      </c>
      <c r="K27" s="49"/>
    </row>
    <row r="28" s="46" customFormat="true" ht="12.8" hidden="false" customHeight="false" outlineLevel="0" collapsed="false">
      <c r="A28" s="44" t="n">
        <v>71</v>
      </c>
      <c r="B28" s="45" t="s">
        <v>37</v>
      </c>
      <c r="C28" s="46" t="n">
        <v>30</v>
      </c>
      <c r="D28" s="47" t="n">
        <v>3500</v>
      </c>
      <c r="E28" s="48" t="n">
        <v>2490</v>
      </c>
      <c r="F28" s="47" t="n">
        <v>1950</v>
      </c>
      <c r="G28" s="41" t="n">
        <v>0.23</v>
      </c>
      <c r="H28" s="42" t="n">
        <f aca="false">E28*(1-G28)</f>
        <v>1917.3</v>
      </c>
      <c r="I28" s="41" t="n">
        <v>0.2</v>
      </c>
      <c r="J28" s="39" t="n">
        <f aca="false">H28*(1-I28)</f>
        <v>1533.84</v>
      </c>
      <c r="K28" s="49"/>
    </row>
    <row r="29" s="46" customFormat="true" ht="12.8" hidden="false" customHeight="false" outlineLevel="0" collapsed="false">
      <c r="A29" s="44" t="n">
        <v>72</v>
      </c>
      <c r="B29" s="45" t="s">
        <v>38</v>
      </c>
      <c r="C29" s="46" t="n">
        <v>90</v>
      </c>
      <c r="D29" s="47" t="n">
        <v>8500</v>
      </c>
      <c r="E29" s="48" t="n">
        <v>6700</v>
      </c>
      <c r="F29" s="47" t="n">
        <v>5378</v>
      </c>
      <c r="G29" s="41" t="n">
        <v>0.23</v>
      </c>
      <c r="H29" s="42" t="n">
        <f aca="false">E29*(1-G29)</f>
        <v>5159</v>
      </c>
      <c r="I29" s="41" t="n">
        <v>0.2</v>
      </c>
      <c r="J29" s="39" t="n">
        <f aca="false">H29*(1-I29)</f>
        <v>4127.2</v>
      </c>
      <c r="K29" s="49" t="n">
        <f aca="false">H29/(C29/30)</f>
        <v>1719.66666666667</v>
      </c>
    </row>
    <row r="30" s="46" customFormat="true" ht="12.8" hidden="false" customHeight="false" outlineLevel="0" collapsed="false">
      <c r="A30" s="44" t="n">
        <v>73</v>
      </c>
      <c r="B30" s="45" t="s">
        <v>39</v>
      </c>
      <c r="C30" s="46" t="n">
        <v>180</v>
      </c>
      <c r="D30" s="47" t="n">
        <v>14000</v>
      </c>
      <c r="E30" s="48" t="n">
        <v>11950</v>
      </c>
      <c r="F30" s="47" t="n">
        <v>9562</v>
      </c>
      <c r="G30" s="41" t="n">
        <v>0.23</v>
      </c>
      <c r="H30" s="42" t="n">
        <f aca="false">E30*(1-G30)</f>
        <v>9201.5</v>
      </c>
      <c r="I30" s="41" t="n">
        <v>0.2</v>
      </c>
      <c r="J30" s="39" t="n">
        <f aca="false">H30*(1-I30)</f>
        <v>7361.2</v>
      </c>
      <c r="K30" s="49" t="n">
        <f aca="false">H30/(C30/30)</f>
        <v>1533.58333333333</v>
      </c>
    </row>
    <row r="31" s="46" customFormat="true" ht="12.8" hidden="false" customHeight="false" outlineLevel="0" collapsed="false">
      <c r="A31" s="44" t="n">
        <v>74</v>
      </c>
      <c r="B31" s="45" t="s">
        <v>40</v>
      </c>
      <c r="C31" s="46" t="n">
        <v>365</v>
      </c>
      <c r="D31" s="47" t="n">
        <v>22500</v>
      </c>
      <c r="E31" s="48" t="n">
        <v>20916</v>
      </c>
      <c r="F31" s="47" t="n">
        <v>16733</v>
      </c>
      <c r="G31" s="41" t="n">
        <v>0.23</v>
      </c>
      <c r="H31" s="42" t="n">
        <f aca="false">E31*(1-G31)</f>
        <v>16105.32</v>
      </c>
      <c r="I31" s="41" t="n">
        <v>0.2</v>
      </c>
      <c r="J31" s="39" t="n">
        <f aca="false">H31*(1-I31)</f>
        <v>12884.256</v>
      </c>
      <c r="K31" s="49" t="n">
        <f aca="false">H31/(C31/30)</f>
        <v>1323.72493150685</v>
      </c>
    </row>
    <row r="32" customFormat="false" ht="12.8" hidden="false" customHeight="false" outlineLevel="0" collapsed="false">
      <c r="A32" s="1" t="n">
        <v>101</v>
      </c>
      <c r="B32" s="2" t="s">
        <v>41</v>
      </c>
      <c r="C32" s="3" t="n">
        <v>365</v>
      </c>
      <c r="D32" s="4" t="n">
        <v>2499</v>
      </c>
      <c r="E32" s="5" t="n">
        <v>890</v>
      </c>
      <c r="F32" s="4" t="n">
        <v>890</v>
      </c>
    </row>
    <row r="33" customFormat="false" ht="12.8" hidden="false" customHeight="false" outlineLevel="0" collapsed="false">
      <c r="A33" s="1" t="n">
        <v>102</v>
      </c>
      <c r="B33" s="2" t="s">
        <v>42</v>
      </c>
      <c r="C33" s="3" t="n">
        <v>14</v>
      </c>
      <c r="D33" s="4" t="n">
        <v>1600</v>
      </c>
      <c r="E33" s="5" t="n">
        <v>990</v>
      </c>
      <c r="F33" s="4" t="n">
        <v>290</v>
      </c>
    </row>
    <row r="34" s="30" customFormat="true" ht="12.8" hidden="false" customHeight="false" outlineLevel="0" collapsed="false">
      <c r="A34" s="28" t="n">
        <v>103</v>
      </c>
      <c r="B34" s="29" t="s">
        <v>43</v>
      </c>
      <c r="C34" s="30" t="n">
        <v>30</v>
      </c>
      <c r="D34" s="32" t="n">
        <f aca="false">E34*1.4</f>
        <v>1260</v>
      </c>
      <c r="E34" s="31" t="n">
        <v>900</v>
      </c>
      <c r="F34" s="32" t="n">
        <v>490</v>
      </c>
      <c r="G34" s="33" t="n">
        <v>0.5</v>
      </c>
      <c r="H34" s="34" t="n">
        <f aca="false">E34*(1-G34)</f>
        <v>450</v>
      </c>
      <c r="I34" s="33" t="n">
        <v>0.2</v>
      </c>
      <c r="J34" s="32" t="n">
        <f aca="false">H34*(1-I34)</f>
        <v>360</v>
      </c>
      <c r="K34" s="35"/>
    </row>
    <row r="35" s="30" customFormat="true" ht="12.8" hidden="false" customHeight="false" outlineLevel="0" collapsed="false">
      <c r="A35" s="28" t="n">
        <v>104</v>
      </c>
      <c r="B35" s="29" t="s">
        <v>44</v>
      </c>
      <c r="C35" s="30" t="n">
        <v>30</v>
      </c>
      <c r="D35" s="32" t="n">
        <f aca="false">E35*1.4</f>
        <v>1260</v>
      </c>
      <c r="E35" s="31" t="n">
        <v>900</v>
      </c>
      <c r="F35" s="32" t="n">
        <v>490</v>
      </c>
      <c r="G35" s="33" t="n">
        <v>0.5</v>
      </c>
      <c r="H35" s="34" t="n">
        <f aca="false">E35*(1-G35)</f>
        <v>450</v>
      </c>
      <c r="I35" s="33" t="n">
        <v>0.2</v>
      </c>
      <c r="J35" s="32" t="n">
        <f aca="false">H35*(1-I35)</f>
        <v>360</v>
      </c>
      <c r="K35" s="35"/>
    </row>
    <row r="36" s="30" customFormat="true" ht="23.85" hidden="false" customHeight="false" outlineLevel="0" collapsed="false">
      <c r="A36" s="28" t="n">
        <v>210</v>
      </c>
      <c r="B36" s="29" t="s">
        <v>45</v>
      </c>
      <c r="C36" s="30" t="n">
        <v>30</v>
      </c>
      <c r="D36" s="32" t="n">
        <f aca="false">E36*1.4</f>
        <v>1260</v>
      </c>
      <c r="E36" s="31" t="n">
        <v>900</v>
      </c>
      <c r="F36" s="32" t="n">
        <v>1590</v>
      </c>
      <c r="G36" s="33" t="n">
        <v>0.5</v>
      </c>
      <c r="H36" s="34" t="n">
        <f aca="false">E36*(1-G36)</f>
        <v>450</v>
      </c>
      <c r="I36" s="33" t="n">
        <v>0.2</v>
      </c>
      <c r="J36" s="32" t="n">
        <f aca="false">H36*(1-I36)</f>
        <v>360</v>
      </c>
      <c r="K36" s="35"/>
    </row>
    <row r="37" s="30" customFormat="true" ht="23.85" hidden="false" customHeight="false" outlineLevel="0" collapsed="false">
      <c r="A37" s="28" t="n">
        <v>220</v>
      </c>
      <c r="B37" s="29" t="s">
        <v>46</v>
      </c>
      <c r="C37" s="30" t="n">
        <v>30</v>
      </c>
      <c r="D37" s="32" t="n">
        <f aca="false">E37*1.4</f>
        <v>1260</v>
      </c>
      <c r="E37" s="31" t="n">
        <v>900</v>
      </c>
      <c r="F37" s="32" t="n">
        <v>1590</v>
      </c>
      <c r="G37" s="33" t="n">
        <v>0.5</v>
      </c>
      <c r="H37" s="34" t="n">
        <f aca="false">E37*(1-G37)</f>
        <v>450</v>
      </c>
      <c r="I37" s="33" t="n">
        <v>0.2</v>
      </c>
      <c r="J37" s="32" t="n">
        <f aca="false">H37*(1-I37)</f>
        <v>360</v>
      </c>
      <c r="K37" s="35"/>
    </row>
    <row r="38" s="30" customFormat="true" ht="23.85" hidden="false" customHeight="false" outlineLevel="0" collapsed="false">
      <c r="A38" s="50" t="n">
        <v>230</v>
      </c>
      <c r="B38" s="51" t="s">
        <v>47</v>
      </c>
      <c r="C38" s="52" t="n">
        <v>30</v>
      </c>
      <c r="D38" s="32" t="n">
        <f aca="false">E38*1.4</f>
        <v>2660</v>
      </c>
      <c r="E38" s="53" t="n">
        <v>1900</v>
      </c>
      <c r="F38" s="54" t="n">
        <v>490</v>
      </c>
      <c r="G38" s="33" t="n">
        <v>0.5</v>
      </c>
      <c r="H38" s="34" t="n">
        <f aca="false">E38*(1-G38)</f>
        <v>950</v>
      </c>
      <c r="I38" s="33" t="n">
        <v>0.2</v>
      </c>
      <c r="J38" s="32" t="n">
        <f aca="false">H38*(1-I38)</f>
        <v>760</v>
      </c>
      <c r="K38" s="55"/>
    </row>
    <row r="39" s="52" customFormat="true" ht="23.85" hidden="false" customHeight="false" outlineLevel="0" collapsed="false">
      <c r="A39" s="50" t="n">
        <v>231</v>
      </c>
      <c r="B39" s="51" t="s">
        <v>48</v>
      </c>
      <c r="C39" s="52" t="n">
        <v>30</v>
      </c>
      <c r="D39" s="32" t="n">
        <f aca="false">E39*1.4</f>
        <v>2660</v>
      </c>
      <c r="E39" s="53" t="n">
        <v>1900</v>
      </c>
      <c r="F39" s="54" t="n">
        <v>490</v>
      </c>
      <c r="G39" s="33" t="n">
        <v>0.5</v>
      </c>
      <c r="H39" s="34" t="n">
        <f aca="false">E39*(1-G39)</f>
        <v>950</v>
      </c>
      <c r="I39" s="33" t="n">
        <v>0.2</v>
      </c>
      <c r="J39" s="32" t="n">
        <f aca="false">H39*(1-I39)</f>
        <v>760</v>
      </c>
      <c r="K39" s="55"/>
    </row>
    <row r="40" customFormat="false" ht="23.85" hidden="false" customHeight="false" outlineLevel="0" collapsed="false">
      <c r="A40" s="1" t="n">
        <v>241</v>
      </c>
      <c r="B40" s="2" t="s">
        <v>49</v>
      </c>
      <c r="C40" s="3" t="n">
        <v>365</v>
      </c>
      <c r="D40" s="4" t="n">
        <v>1200</v>
      </c>
      <c r="E40" s="5" t="n">
        <v>950</v>
      </c>
      <c r="F40" s="4" t="n">
        <v>410</v>
      </c>
    </row>
    <row r="41" customFormat="false" ht="23.85" hidden="false" customHeight="false" outlineLevel="0" collapsed="false">
      <c r="A41" s="1" t="n">
        <v>242</v>
      </c>
      <c r="B41" s="2" t="s">
        <v>50</v>
      </c>
      <c r="C41" s="3" t="n">
        <v>365</v>
      </c>
      <c r="D41" s="4" t="n">
        <v>22000</v>
      </c>
      <c r="E41" s="5" t="n">
        <v>19200</v>
      </c>
      <c r="F41" s="4" t="n">
        <v>14900</v>
      </c>
    </row>
    <row r="42" customFormat="false" ht="12.8" hidden="false" customHeight="false" outlineLevel="0" collapsed="false">
      <c r="A42" s="1" t="n">
        <v>1000</v>
      </c>
      <c r="B42" s="2" t="s">
        <v>51</v>
      </c>
      <c r="C42" s="3" t="n">
        <v>0</v>
      </c>
      <c r="D42" s="4" t="n">
        <v>0</v>
      </c>
      <c r="E42" s="5" t="n">
        <v>1000</v>
      </c>
      <c r="F42" s="4" t="n">
        <v>0</v>
      </c>
    </row>
    <row r="43" customFormat="false" ht="12.8" hidden="false" customHeight="false" outlineLevel="0" collapsed="false">
      <c r="A43" s="1" t="n">
        <v>1001</v>
      </c>
      <c r="B43" s="2" t="s">
        <v>52</v>
      </c>
      <c r="C43" s="3" t="n">
        <v>0</v>
      </c>
      <c r="D43" s="4" t="n">
        <v>0</v>
      </c>
      <c r="E43" s="5" t="n">
        <v>0</v>
      </c>
      <c r="F43" s="4" t="n">
        <v>0</v>
      </c>
    </row>
    <row r="44" s="30" customFormat="true" ht="12.8" hidden="false" customHeight="false" outlineLevel="0" collapsed="false">
      <c r="A44" s="28" t="n">
        <v>1011</v>
      </c>
      <c r="B44" s="29" t="s">
        <v>53</v>
      </c>
      <c r="C44" s="30" t="n">
        <v>30</v>
      </c>
      <c r="D44" s="32" t="n">
        <v>690</v>
      </c>
      <c r="E44" s="31" t="n">
        <v>490</v>
      </c>
      <c r="F44" s="32" t="n">
        <v>290</v>
      </c>
      <c r="G44" s="33" t="n">
        <v>0.2</v>
      </c>
      <c r="H44" s="34" t="n">
        <f aca="false">E44*(1-G44)</f>
        <v>392</v>
      </c>
      <c r="I44" s="33" t="n">
        <v>0.2</v>
      </c>
      <c r="J44" s="32" t="n">
        <f aca="false">H44*(1-I44)</f>
        <v>313.6</v>
      </c>
      <c r="K44" s="35"/>
    </row>
    <row r="45" s="30" customFormat="true" ht="12.8" hidden="false" customHeight="false" outlineLevel="0" collapsed="false">
      <c r="A45" s="28" t="n">
        <v>1012</v>
      </c>
      <c r="B45" s="29" t="s">
        <v>54</v>
      </c>
      <c r="C45" s="30" t="n">
        <v>30</v>
      </c>
      <c r="D45" s="32" t="n">
        <v>690</v>
      </c>
      <c r="E45" s="31" t="n">
        <v>490</v>
      </c>
      <c r="F45" s="32" t="n">
        <v>290</v>
      </c>
      <c r="G45" s="33" t="n">
        <v>0.2</v>
      </c>
      <c r="H45" s="34" t="n">
        <f aca="false">E45*(1-G45)</f>
        <v>392</v>
      </c>
      <c r="I45" s="33" t="n">
        <v>0.2</v>
      </c>
      <c r="J45" s="32" t="n">
        <f aca="false">H45*(1-I45)</f>
        <v>313.6</v>
      </c>
      <c r="K45" s="35"/>
    </row>
    <row r="46" s="30" customFormat="true" ht="12.8" hidden="false" customHeight="false" outlineLevel="0" collapsed="false">
      <c r="A46" s="28" t="n">
        <v>1013</v>
      </c>
      <c r="B46" s="29" t="s">
        <v>55</v>
      </c>
      <c r="C46" s="30" t="n">
        <v>30</v>
      </c>
      <c r="D46" s="32" t="n">
        <v>690</v>
      </c>
      <c r="E46" s="31" t="n">
        <v>490</v>
      </c>
      <c r="F46" s="32" t="n">
        <v>290</v>
      </c>
      <c r="G46" s="33" t="n">
        <v>0.2</v>
      </c>
      <c r="H46" s="34" t="n">
        <f aca="false">E46*(1-G46)</f>
        <v>392</v>
      </c>
      <c r="I46" s="33" t="n">
        <v>0.2</v>
      </c>
      <c r="J46" s="32" t="n">
        <f aca="false">H46*(1-I46)</f>
        <v>313.6</v>
      </c>
      <c r="K46" s="35"/>
    </row>
    <row r="47" s="30" customFormat="true" ht="23.85" hidden="false" customHeight="false" outlineLevel="0" collapsed="false">
      <c r="A47" s="28" t="n">
        <v>1014</v>
      </c>
      <c r="B47" s="29" t="s">
        <v>56</v>
      </c>
      <c r="C47" s="30" t="n">
        <v>30</v>
      </c>
      <c r="D47" s="32" t="n">
        <v>690</v>
      </c>
      <c r="E47" s="31" t="n">
        <v>490</v>
      </c>
      <c r="F47" s="32" t="n">
        <v>290</v>
      </c>
      <c r="G47" s="33" t="n">
        <v>0.2</v>
      </c>
      <c r="H47" s="34" t="n">
        <f aca="false">E47*(1-G47)</f>
        <v>392</v>
      </c>
      <c r="I47" s="33" t="n">
        <v>0.2</v>
      </c>
      <c r="J47" s="32" t="n">
        <f aca="false">H47*(1-I47)</f>
        <v>313.6</v>
      </c>
      <c r="K47" s="35"/>
    </row>
    <row r="48" s="30" customFormat="true" ht="23.85" hidden="false" customHeight="false" outlineLevel="0" collapsed="false">
      <c r="A48" s="28" t="n">
        <v>1015</v>
      </c>
      <c r="B48" s="29" t="s">
        <v>57</v>
      </c>
      <c r="C48" s="30" t="n">
        <v>30</v>
      </c>
      <c r="D48" s="32" t="n">
        <v>690</v>
      </c>
      <c r="E48" s="31" t="n">
        <v>490</v>
      </c>
      <c r="F48" s="32" t="n">
        <v>290</v>
      </c>
      <c r="G48" s="33" t="n">
        <v>0.2</v>
      </c>
      <c r="H48" s="34" t="n">
        <f aca="false">E48*(1-G48)</f>
        <v>392</v>
      </c>
      <c r="I48" s="33" t="n">
        <v>0.2</v>
      </c>
      <c r="J48" s="32" t="n">
        <f aca="false">H48*(1-I48)</f>
        <v>313.6</v>
      </c>
      <c r="K48" s="35"/>
    </row>
    <row r="49" s="30" customFormat="true" ht="23.85" hidden="false" customHeight="false" outlineLevel="0" collapsed="false">
      <c r="A49" s="28" t="n">
        <v>1016</v>
      </c>
      <c r="B49" s="29" t="s">
        <v>58</v>
      </c>
      <c r="C49" s="30" t="n">
        <v>30</v>
      </c>
      <c r="D49" s="32" t="n">
        <v>690</v>
      </c>
      <c r="E49" s="31" t="n">
        <v>490</v>
      </c>
      <c r="F49" s="32" t="n">
        <v>290</v>
      </c>
      <c r="G49" s="33" t="n">
        <v>0.2</v>
      </c>
      <c r="H49" s="34" t="n">
        <f aca="false">E49*(1-G49)</f>
        <v>392</v>
      </c>
      <c r="I49" s="33" t="n">
        <v>0.2</v>
      </c>
      <c r="J49" s="32" t="n">
        <f aca="false">H49*(1-I49)</f>
        <v>313.6</v>
      </c>
      <c r="K49" s="35"/>
    </row>
    <row r="50" s="30" customFormat="true" ht="12.8" hidden="false" customHeight="false" outlineLevel="0" collapsed="false">
      <c r="A50" s="28" t="n">
        <v>1017</v>
      </c>
      <c r="B50" s="29" t="s">
        <v>59</v>
      </c>
      <c r="C50" s="30" t="n">
        <v>30</v>
      </c>
      <c r="D50" s="32" t="n">
        <v>690</v>
      </c>
      <c r="E50" s="31" t="n">
        <v>490</v>
      </c>
      <c r="F50" s="32" t="n">
        <v>290</v>
      </c>
      <c r="G50" s="33" t="n">
        <v>0.2</v>
      </c>
      <c r="H50" s="34" t="n">
        <f aca="false">E50*(1-G50)</f>
        <v>392</v>
      </c>
      <c r="I50" s="33" t="n">
        <v>0.2</v>
      </c>
      <c r="J50" s="32" t="n">
        <f aca="false">H50*(1-I50)</f>
        <v>313.6</v>
      </c>
      <c r="K50" s="35"/>
    </row>
    <row r="51" customFormat="false" ht="12.8" hidden="false" customHeight="false" outlineLevel="0" collapsed="false">
      <c r="A51" s="1" t="n">
        <v>2001</v>
      </c>
      <c r="B51" s="2" t="s">
        <v>60</v>
      </c>
      <c r="C51" s="3" t="n">
        <v>21</v>
      </c>
      <c r="D51" s="4" t="n">
        <v>4500</v>
      </c>
      <c r="E51" s="5" t="n">
        <v>4050</v>
      </c>
      <c r="F51" s="4" t="n">
        <v>2200</v>
      </c>
    </row>
    <row r="52" customFormat="false" ht="12.8" hidden="false" customHeight="false" outlineLevel="0" collapsed="false">
      <c r="A52" s="1" t="n">
        <v>2002</v>
      </c>
      <c r="B52" s="2" t="s">
        <v>61</v>
      </c>
      <c r="C52" s="3" t="n">
        <v>90</v>
      </c>
      <c r="D52" s="4" t="n">
        <v>24000</v>
      </c>
      <c r="E52" s="5" t="n">
        <v>21600</v>
      </c>
      <c r="F52" s="4" t="n">
        <v>11900</v>
      </c>
    </row>
    <row r="53" customFormat="false" ht="12.8" hidden="false" customHeight="false" outlineLevel="0" collapsed="false">
      <c r="A53" s="1" t="n">
        <v>2003</v>
      </c>
      <c r="B53" s="2" t="s">
        <v>62</v>
      </c>
      <c r="C53" s="3" t="n">
        <v>90</v>
      </c>
      <c r="D53" s="4" t="n">
        <v>30000</v>
      </c>
      <c r="E53" s="5" t="n">
        <v>27000</v>
      </c>
      <c r="F53" s="4" t="n">
        <v>19900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2025-08-13T11:20:19Z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